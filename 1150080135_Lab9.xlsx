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8B67C3F-CE85-4D78-ADC8-C7775835F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SM_Project" sheetId="1" r:id="rId1"/>
    <sheet name="WSM_Function" sheetId="2" r:id="rId2"/>
    <sheet name="NPV" sheetId="3" r:id="rId3"/>
    <sheet name="ROI" sheetId="4" r:id="rId4"/>
    <sheet name="Paypack" sheetId="5" r:id="rId5"/>
  </sheets>
  <externalReferences>
    <externalReference r:id="rId6"/>
    <externalReference r:id="rId7"/>
  </externalReferences>
  <calcPr calcId="0"/>
</workbook>
</file>

<file path=xl/sharedStrings.xml><?xml version="1.0" encoding="utf-8"?>
<sst xmlns="http://schemas.openxmlformats.org/spreadsheetml/2006/main" count="57" uniqueCount="33">
  <si>
    <t>Mô hình trọng số - WSM (Dự án)</t>
  </si>
  <si>
    <t>Tiêu chí</t>
  </si>
  <si>
    <t>Trọng số (%)</t>
  </si>
  <si>
    <t>Điểm dự án</t>
  </si>
  <si>
    <t>Trọng số x điểm</t>
  </si>
  <si>
    <t>Tạo tài khoản, đăng nhập, đăng xuất, đổi mật khẩu, quản trị người dùng</t>
  </si>
  <si>
    <t>Sao lưu, phục hồi dữ liệu</t>
  </si>
  <si>
    <t>Quản lý đăng tin hoạt động</t>
  </si>
  <si>
    <t>Quản lý sinh viên đăng ký tham gia hoạt động</t>
  </si>
  <si>
    <t>Quản lý điểm danh sinh viên theo danh sách đăng ký</t>
  </si>
  <si>
    <t>Quản lý tìm kiếm hoạt động, sinh viên tham gia</t>
  </si>
  <si>
    <t>Thống kê báo cáo theo định kỳ</t>
  </si>
  <si>
    <t>Tổng điểm WSM</t>
  </si>
  <si>
    <t>Mô hình trọng số - WSM (Chức năng)</t>
  </si>
  <si>
    <t>Chức năng</t>
  </si>
  <si>
    <t>Điểm chức năng</t>
  </si>
  <si>
    <t>Năm</t>
  </si>
  <si>
    <t>Hệ số chiết khấu</t>
  </si>
  <si>
    <t>Chi phí đã chiết khấu</t>
  </si>
  <si>
    <t>Lợi ích đã chiết khấu</t>
  </si>
  <si>
    <t>Tổng chi phí lũy kế</t>
  </si>
  <si>
    <t>Tổng lợi ích lũy kế</t>
  </si>
  <si>
    <t>YEAR 1</t>
  </si>
  <si>
    <t>YEAR 2</t>
  </si>
  <si>
    <t>YEAR 3</t>
  </si>
  <si>
    <t>YEAR 4</t>
  </si>
  <si>
    <t>YEAR 5</t>
  </si>
  <si>
    <t>TOTAL</t>
  </si>
  <si>
    <t>Tỷ lệ chiết khấu</t>
  </si>
  <si>
    <t>Lợi ích (VNĐ)</t>
  </si>
  <si>
    <t>Chi phí (VNĐ)</t>
  </si>
  <si>
    <t>NPV (Giá trị hiện tại ròng)</t>
  </si>
  <si>
    <t>ROI (Tỷ suất hoàn vốn)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</si>
</sst>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WSM - Dự án quản</a:t>
            </a:r>
            <a:r>
              <a:rPr lang="en-US" baseline="0"/>
              <a:t> lý điểm danh sinh viên CNTT</a:t>
            </a:r>
            <a:endParaRPr lang="en-US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WSM_Project!$A$3:$A$9</c:f>
              <c:strCache>
                <c:ptCount val="7"/>
                <c:pt idx="0">
                  <c:v>Tạo tài khoản, đăng nhập, đăng xuất, đổi mật khẩu, quản trị người dùng</c:v>
                </c:pt>
                <c:pt idx="1">
                  <c:v>Sao lưu, phục hồi dữ liệu</c:v>
                </c:pt>
                <c:pt idx="2">
                  <c:v>Quản lý đăng tin hoạt động</c:v>
                </c:pt>
                <c:pt idx="3">
                  <c:v>Quản lý sinh viên đăng ký tham gia hoạt động</c:v>
                </c:pt>
                <c:pt idx="4">
                  <c:v>Quản lý điểm danh sinh viên theo danh sách đăng ký</c:v>
                </c:pt>
                <c:pt idx="5">
                  <c:v>Quản lý tìm kiếm hoạt động, sinh viên tham gia</c:v>
                </c:pt>
                <c:pt idx="6">
                  <c:v>Thống kê báo cáo theo định kỳ</c:v>
                </c:pt>
              </c:strCache>
            </c:strRef>
          </c:cat>
          <c:val>
            <c:numRef>
              <c:f>WSM_Project!$D$3:$D$9</c:f>
              <c:numCache>
                <c:formatCode>General</c:formatCode>
                <c:ptCount val="7"/>
                <c:pt idx="0">
                  <c:v>1.2</c:v>
                </c:pt>
                <c:pt idx="1">
                  <c:v>0.7</c:v>
                </c:pt>
                <c:pt idx="2">
                  <c:v>1.35</c:v>
                </c:pt>
                <c:pt idx="3">
                  <c:v>1.2</c:v>
                </c:pt>
                <c:pt idx="4">
                  <c:v>1.8</c:v>
                </c:pt>
                <c:pt idx="5">
                  <c:v>1.2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F-4023-906B-4B8038DCED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Điểm WSM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Tiêu chí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WSM - Chức năng - </a:t>
            </a:r>
            <a:r>
              <a:rPr lang="en-US" sz="1800" b="1" i="0" u="none" strike="noStrike" baseline="0">
                <a:effectLst/>
              </a:rPr>
              <a:t>Dự án quản lý điểm danh sinh viên CNTT</a:t>
            </a:r>
            <a:endParaRPr lang="en-US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WSM_Function!$A$3:$A$9</c:f>
              <c:strCache>
                <c:ptCount val="7"/>
                <c:pt idx="0">
                  <c:v>Tạo tài khoản, đăng nhập, đăng xuất, đổi mật khẩu, quản trị người dùng</c:v>
                </c:pt>
                <c:pt idx="1">
                  <c:v>Sao lưu, phục hồi dữ liệu</c:v>
                </c:pt>
                <c:pt idx="2">
                  <c:v>Quản lý đăng tin hoạt động</c:v>
                </c:pt>
                <c:pt idx="3">
                  <c:v>Quản lý sinh viên đăng ký tham gia hoạt động</c:v>
                </c:pt>
                <c:pt idx="4">
                  <c:v>Quản lý điểm danh sinh viên theo danh sách đăng ký</c:v>
                </c:pt>
                <c:pt idx="5">
                  <c:v>Quản lý tìm kiếm hoạt động, sinh viên tham gia</c:v>
                </c:pt>
                <c:pt idx="6">
                  <c:v>Thống kê báo cáo theo định kỳ</c:v>
                </c:pt>
              </c:strCache>
            </c:strRef>
          </c:cat>
          <c:val>
            <c:numRef>
              <c:f>WSM_Function!$D$3:$D$9</c:f>
              <c:numCache>
                <c:formatCode>General</c:formatCode>
                <c:ptCount val="7"/>
                <c:pt idx="0">
                  <c:v>1.35</c:v>
                </c:pt>
                <c:pt idx="1">
                  <c:v>0.8</c:v>
                </c:pt>
                <c:pt idx="2">
                  <c:v>1.2</c:v>
                </c:pt>
                <c:pt idx="3">
                  <c:v>1.35</c:v>
                </c:pt>
                <c:pt idx="4">
                  <c:v>2</c:v>
                </c:pt>
                <c:pt idx="5">
                  <c:v>1.2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E-496E-90C9-A86DD5BB66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Điểm WSM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Chức năng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NPV - Discounted Benefits vs Costs-</a:t>
            </a:r>
            <a:r>
              <a:rPr lang="en-US" sz="1800" b="1" i="0" u="none" strike="noStrike" baseline="0">
                <a:effectLst/>
              </a:rPr>
              <a:t>Dự án quản lý điểm danh sinh viên CNTT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[2]NPV!$B$6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[2]NPV!$B$7</c:f>
              <c:numCache>
                <c:formatCode>General</c:formatCode>
                <c:ptCount val="1"/>
                <c:pt idx="0">
                  <c:v>27273000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A-4431-B277-3ABEFD265407}"/>
            </c:ext>
          </c:extLst>
        </c:ser>
        <c:ser>
          <c:idx val="1"/>
          <c:order val="1"/>
          <c:tx>
            <c:strRef>
              <c:f>[2]NPV!$C$6</c:f>
              <c:strCache>
                <c:ptCount val="1"/>
                <c:pt idx="0">
                  <c:v>12396000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[2]NPV!$C$7</c:f>
              <c:numCache>
                <c:formatCode>General</c:formatCode>
                <c:ptCount val="1"/>
                <c:pt idx="0">
                  <c:v>8264000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A-4431-B277-3ABEFD265407}"/>
            </c:ext>
          </c:extLst>
        </c:ser>
        <c:ser>
          <c:idx val="2"/>
          <c:order val="2"/>
          <c:tx>
            <c:strRef>
              <c:f>[2]NPV!$D$6</c:f>
              <c:strCache>
                <c:ptCount val="1"/>
                <c:pt idx="0">
                  <c:v>15026000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[2]NPV!$D$7</c:f>
              <c:numCache>
                <c:formatCode>General</c:formatCode>
                <c:ptCount val="1"/>
                <c:pt idx="0">
                  <c:v>6010400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A-4431-B277-3ABEFD265407}"/>
            </c:ext>
          </c:extLst>
        </c:ser>
        <c:ser>
          <c:idx val="3"/>
          <c:order val="3"/>
          <c:tx>
            <c:strRef>
              <c:f>[2]NPV!$E$6</c:f>
              <c:strCache>
                <c:ptCount val="1"/>
                <c:pt idx="0">
                  <c:v>17075000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[2]NPV!$E$7</c:f>
              <c:numCache>
                <c:formatCode>General</c:formatCode>
                <c:ptCount val="1"/>
                <c:pt idx="0">
                  <c:v>5464000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2A-4431-B277-3ABEFD265407}"/>
            </c:ext>
          </c:extLst>
        </c:ser>
        <c:ser>
          <c:idx val="4"/>
          <c:order val="4"/>
          <c:tx>
            <c:strRef>
              <c:f>[2]NPV!$F$6</c:f>
              <c:strCache>
                <c:ptCount val="1"/>
                <c:pt idx="0">
                  <c:v>18627000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[2]NPV!$B$2:$F$2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[2]NPV!$F$7</c:f>
              <c:numCache>
                <c:formatCode>General</c:formatCode>
                <c:ptCount val="1"/>
                <c:pt idx="0">
                  <c:v>4967200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4431-B277-3ABEFD2654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ROI - Cumulative Benefits vs Costs-</a:t>
            </a:r>
            <a:r>
              <a:rPr lang="en-US" sz="1800" b="1" i="0" u="none" strike="noStrike" baseline="0">
                <a:effectLst/>
              </a:rPr>
              <a:t>Dự án quản lý điểm danh sinh viên CNTT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[2]ROI!$B$6</c:f>
              <c:strCache>
                <c:ptCount val="1"/>
                <c:pt idx="0">
                  <c:v>27273000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[2]ROI!$B$7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E-4B63-A1D1-548977DBC4C3}"/>
            </c:ext>
          </c:extLst>
        </c:ser>
        <c:ser>
          <c:idx val="1"/>
          <c:order val="1"/>
          <c:tx>
            <c:strRef>
              <c:f>[2]ROI!$C$6</c:f>
              <c:strCache>
                <c:ptCount val="1"/>
                <c:pt idx="0">
                  <c:v>35537000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[2]ROI!$C$7</c:f>
              <c:numCache>
                <c:formatCode>General</c:formatCode>
                <c:ptCount val="1"/>
                <c:pt idx="0">
                  <c:v>12396000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E-4B63-A1D1-548977DBC4C3}"/>
            </c:ext>
          </c:extLst>
        </c:ser>
        <c:ser>
          <c:idx val="2"/>
          <c:order val="2"/>
          <c:tx>
            <c:strRef>
              <c:f>[2]ROI!$D$6</c:f>
              <c:strCache>
                <c:ptCount val="1"/>
                <c:pt idx="0">
                  <c:v>41547400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[2]ROI!$D$7</c:f>
              <c:numCache>
                <c:formatCode>General</c:formatCode>
                <c:ptCount val="1"/>
                <c:pt idx="0">
                  <c:v>27422000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E-4B63-A1D1-548977DBC4C3}"/>
            </c:ext>
          </c:extLst>
        </c:ser>
        <c:ser>
          <c:idx val="3"/>
          <c:order val="3"/>
          <c:tx>
            <c:strRef>
              <c:f>[2]ROI!$E$6</c:f>
              <c:strCache>
                <c:ptCount val="1"/>
                <c:pt idx="0">
                  <c:v>47011400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[2]ROI!$E$7</c:f>
              <c:numCache>
                <c:formatCode>General</c:formatCode>
                <c:ptCount val="1"/>
                <c:pt idx="0">
                  <c:v>44497000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CE-4B63-A1D1-548977DBC4C3}"/>
            </c:ext>
          </c:extLst>
        </c:ser>
        <c:ser>
          <c:idx val="4"/>
          <c:order val="4"/>
          <c:tx>
            <c:strRef>
              <c:f>[2]ROI!$F$6</c:f>
              <c:strCache>
                <c:ptCount val="1"/>
                <c:pt idx="0">
                  <c:v>51978600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[2]ROI!$B$2:$F$2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[2]ROI!$F$7</c:f>
              <c:numCache>
                <c:formatCode>General</c:formatCode>
                <c:ptCount val="1"/>
                <c:pt idx="0">
                  <c:v>63124000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CE-4B63-A1D1-548977DBC4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Payback - Cumulative Costs vs Benefits-</a:t>
            </a:r>
            <a:r>
              <a:rPr lang="en-US" sz="1800" b="1" i="0" u="none" strike="noStrike" baseline="0">
                <a:effectLst/>
              </a:rPr>
              <a:t>Dự án quản lý điểm danh sinh viên CNTT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[2]Payback!$D$1</c:f>
              <c:strCache>
                <c:ptCount val="1"/>
                <c:pt idx="0">
                  <c:v>Tổng chi phí lũy kế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[2]Payback!$A$2:$A$4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[2]Payback!$D$2:$D$4</c:f>
              <c:numCache>
                <c:formatCode>General</c:formatCode>
                <c:ptCount val="3"/>
                <c:pt idx="0">
                  <c:v>140000</c:v>
                </c:pt>
                <c:pt idx="1">
                  <c:v>140000</c:v>
                </c:pt>
                <c:pt idx="2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5-4447-8293-9E2262A06DDC}"/>
            </c:ext>
          </c:extLst>
        </c:ser>
        <c:ser>
          <c:idx val="1"/>
          <c:order val="1"/>
          <c:tx>
            <c:strRef>
              <c:f>[2]Payback!$E$1</c:f>
              <c:strCache>
                <c:ptCount val="1"/>
                <c:pt idx="0">
                  <c:v>Tổng lợi ích lũy kế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[2]Payback!$A$2:$A$4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[2]Payback!$E$2:$E$4</c:f>
              <c:numCache>
                <c:formatCode>General</c:formatCode>
                <c:ptCount val="3"/>
                <c:pt idx="0">
                  <c:v>0</c:v>
                </c:pt>
                <c:pt idx="1">
                  <c:v>172000</c:v>
                </c:pt>
                <c:pt idx="2">
                  <c:v>415500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5-4447-8293-9E2262A06D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Năm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Giá trị lũy kế (VND)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403860</xdr:colOff>
      <xdr:row>12</xdr:row>
      <xdr:rowOff>30480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830580</xdr:colOff>
      <xdr:row>11</xdr:row>
      <xdr:rowOff>106680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396240</xdr:colOff>
      <xdr:row>9</xdr:row>
      <xdr:rowOff>76200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3C25D3-F732-4B07-9DB1-C8CA8FF8D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449580</xdr:colOff>
      <xdr:row>10</xdr:row>
      <xdr:rowOff>68580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B4271-D9FA-4D9C-8B5C-FF3DC52A8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4</xdr:row>
      <xdr:rowOff>129540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221DED-E8D2-457F-BDAD-5AC200A66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9_NPV_ROI_Payback_Separate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ab9_NPV_ROI_Payback_TiengVi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ROI"/>
      <sheetName val="Payback"/>
    </sheetNames>
    <sheetDataSet>
      <sheetData sheetId="0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0</v>
          </cell>
          <cell r="C6">
            <v>12396000</v>
          </cell>
          <cell r="D6">
            <v>15026000</v>
          </cell>
          <cell r="E6">
            <v>17075000</v>
          </cell>
          <cell r="F6">
            <v>18627000</v>
          </cell>
        </row>
        <row r="7">
          <cell r="B7">
            <v>27273000</v>
          </cell>
          <cell r="C7">
            <v>8264000</v>
          </cell>
          <cell r="D7">
            <v>6010400</v>
          </cell>
          <cell r="E7">
            <v>5464000</v>
          </cell>
          <cell r="F7">
            <v>4967200</v>
          </cell>
        </row>
      </sheetData>
      <sheetData sheetId="1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27273000</v>
          </cell>
          <cell r="C6">
            <v>35537000</v>
          </cell>
          <cell r="D6">
            <v>41547400</v>
          </cell>
          <cell r="E6">
            <v>47011400</v>
          </cell>
          <cell r="F6">
            <v>51978600</v>
          </cell>
        </row>
        <row r="7">
          <cell r="B7">
            <v>0</v>
          </cell>
          <cell r="C7">
            <v>12396000</v>
          </cell>
          <cell r="D7">
            <v>27422000</v>
          </cell>
          <cell r="E7">
            <v>44497000</v>
          </cell>
          <cell r="F7">
            <v>63124000</v>
          </cell>
        </row>
      </sheetData>
      <sheetData sheetId="2">
        <row r="1">
          <cell r="D1" t="str">
            <v>Cum Costs</v>
          </cell>
          <cell r="E1" t="str">
            <v>Cum Benefits</v>
          </cell>
        </row>
        <row r="2">
          <cell r="A2">
            <v>0</v>
          </cell>
          <cell r="D2">
            <v>140000</v>
          </cell>
          <cell r="E2">
            <v>0</v>
          </cell>
        </row>
        <row r="3">
          <cell r="A3">
            <v>1</v>
          </cell>
          <cell r="D3">
            <v>140000</v>
          </cell>
          <cell r="E3">
            <v>172000</v>
          </cell>
        </row>
        <row r="4">
          <cell r="A4">
            <v>2</v>
          </cell>
          <cell r="D4">
            <v>140000</v>
          </cell>
          <cell r="E4">
            <v>415500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ROI"/>
      <sheetName val="Payback"/>
    </sheetNames>
    <sheetDataSet>
      <sheetData sheetId="0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0</v>
          </cell>
          <cell r="C6">
            <v>12396000</v>
          </cell>
          <cell r="D6">
            <v>15026000</v>
          </cell>
          <cell r="E6">
            <v>17075000</v>
          </cell>
          <cell r="F6">
            <v>18627000</v>
          </cell>
        </row>
        <row r="7">
          <cell r="B7">
            <v>27273000</v>
          </cell>
          <cell r="C7">
            <v>8264000</v>
          </cell>
          <cell r="D7">
            <v>6010400</v>
          </cell>
          <cell r="E7">
            <v>5464000</v>
          </cell>
          <cell r="F7">
            <v>4967200</v>
          </cell>
        </row>
      </sheetData>
      <sheetData sheetId="1">
        <row r="2">
          <cell r="B2" t="str">
            <v>YEAR 1</v>
          </cell>
          <cell r="C2" t="str">
            <v>YEAR 2</v>
          </cell>
          <cell r="D2" t="str">
            <v>YEAR 3</v>
          </cell>
          <cell r="E2" t="str">
            <v>YEAR 4</v>
          </cell>
          <cell r="F2" t="str">
            <v>YEAR 5</v>
          </cell>
        </row>
        <row r="6">
          <cell r="B6">
            <v>27273000</v>
          </cell>
          <cell r="C6">
            <v>35537000</v>
          </cell>
          <cell r="D6">
            <v>41547400</v>
          </cell>
          <cell r="E6">
            <v>47011400</v>
          </cell>
          <cell r="F6">
            <v>51978600</v>
          </cell>
        </row>
        <row r="7">
          <cell r="B7">
            <v>0</v>
          </cell>
          <cell r="C7">
            <v>12396000</v>
          </cell>
          <cell r="D7">
            <v>27422000</v>
          </cell>
          <cell r="E7">
            <v>44497000</v>
          </cell>
          <cell r="F7">
            <v>63124000</v>
          </cell>
        </row>
      </sheetData>
      <sheetData sheetId="2">
        <row r="1">
          <cell r="D1" t="str">
            <v>Tổng chi phí lũy kế</v>
          </cell>
          <cell r="E1" t="str">
            <v>Tổng lợi ích lũy kế</v>
          </cell>
        </row>
        <row r="2">
          <cell r="A2">
            <v>0</v>
          </cell>
          <cell r="D2">
            <v>140000</v>
          </cell>
          <cell r="E2">
            <v>0</v>
          </cell>
        </row>
        <row r="3">
          <cell r="A3">
            <v>1</v>
          </cell>
          <cell r="D3">
            <v>140000</v>
          </cell>
          <cell r="E3">
            <v>172000</v>
          </cell>
        </row>
        <row r="4">
          <cell r="A4">
            <v>2</v>
          </cell>
          <cell r="D4">
            <v>140000</v>
          </cell>
          <cell r="E4">
            <v>415500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9" sqref="D19"/>
    </sheetView>
  </sheetViews>
  <sheetFormatPr defaultRowHeight="14.4" x14ac:dyDescent="0.3"/>
  <cols>
    <col min="1" max="1" width="58.6640625" customWidth="1"/>
    <col min="2" max="2" width="24.88671875" customWidth="1"/>
    <col min="3" max="3" width="24" customWidth="1"/>
    <col min="4" max="4" width="25.5546875" customWidth="1"/>
  </cols>
  <sheetData>
    <row r="1" spans="1:4" ht="17.399999999999999" x14ac:dyDescent="0.35">
      <c r="A1" s="1" t="s">
        <v>0</v>
      </c>
      <c r="B1" s="2"/>
      <c r="C1" s="2"/>
      <c r="D1" s="2"/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15</v>
      </c>
      <c r="C3">
        <v>8</v>
      </c>
      <c r="D3">
        <v>1.2</v>
      </c>
    </row>
    <row r="4" spans="1:4" x14ac:dyDescent="0.3">
      <c r="A4" t="s">
        <v>6</v>
      </c>
      <c r="B4">
        <v>10</v>
      </c>
      <c r="C4">
        <v>7</v>
      </c>
      <c r="D4">
        <v>0.7</v>
      </c>
    </row>
    <row r="5" spans="1:4" x14ac:dyDescent="0.3">
      <c r="A5" t="s">
        <v>7</v>
      </c>
      <c r="B5">
        <v>15</v>
      </c>
      <c r="C5">
        <v>9</v>
      </c>
      <c r="D5">
        <v>1.35</v>
      </c>
    </row>
    <row r="6" spans="1:4" x14ac:dyDescent="0.3">
      <c r="A6" t="s">
        <v>8</v>
      </c>
      <c r="B6">
        <v>15</v>
      </c>
      <c r="C6">
        <v>8</v>
      </c>
      <c r="D6">
        <v>1.2</v>
      </c>
    </row>
    <row r="7" spans="1:4" x14ac:dyDescent="0.3">
      <c r="A7" t="s">
        <v>9</v>
      </c>
      <c r="B7">
        <v>20</v>
      </c>
      <c r="C7">
        <v>9</v>
      </c>
      <c r="D7">
        <v>1.8</v>
      </c>
    </row>
    <row r="8" spans="1:4" x14ac:dyDescent="0.3">
      <c r="A8" t="s">
        <v>10</v>
      </c>
      <c r="B8">
        <v>15</v>
      </c>
      <c r="C8">
        <v>8</v>
      </c>
      <c r="D8">
        <v>1.2</v>
      </c>
    </row>
    <row r="9" spans="1:4" x14ac:dyDescent="0.3">
      <c r="A9" t="s">
        <v>11</v>
      </c>
      <c r="B9">
        <v>10</v>
      </c>
      <c r="C9">
        <v>7</v>
      </c>
      <c r="D9">
        <v>0.7</v>
      </c>
    </row>
    <row r="10" spans="1:4" x14ac:dyDescent="0.3">
      <c r="C10" t="s">
        <v>12</v>
      </c>
      <c r="D10">
        <v>8.15</v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F20" sqref="F19:F20"/>
    </sheetView>
  </sheetViews>
  <sheetFormatPr defaultRowHeight="14.4" x14ac:dyDescent="0.3"/>
  <cols>
    <col min="1" max="1" width="58.109375" customWidth="1"/>
    <col min="2" max="2" width="16" customWidth="1"/>
    <col min="3" max="3" width="20.21875" customWidth="1"/>
    <col min="4" max="4" width="14.33203125" customWidth="1"/>
  </cols>
  <sheetData>
    <row r="1" spans="1:4" ht="17.399999999999999" x14ac:dyDescent="0.35">
      <c r="A1" s="1" t="s">
        <v>13</v>
      </c>
      <c r="B1" s="2"/>
      <c r="C1" s="2"/>
      <c r="D1" s="2"/>
    </row>
    <row r="2" spans="1:4" x14ac:dyDescent="0.3">
      <c r="A2" t="s">
        <v>14</v>
      </c>
      <c r="B2" t="s">
        <v>2</v>
      </c>
      <c r="C2" t="s">
        <v>15</v>
      </c>
      <c r="D2" t="s">
        <v>4</v>
      </c>
    </row>
    <row r="3" spans="1:4" x14ac:dyDescent="0.3">
      <c r="A3" t="s">
        <v>5</v>
      </c>
      <c r="B3">
        <v>15</v>
      </c>
      <c r="C3">
        <v>9</v>
      </c>
      <c r="D3">
        <v>1.35</v>
      </c>
    </row>
    <row r="4" spans="1:4" x14ac:dyDescent="0.3">
      <c r="A4" t="s">
        <v>6</v>
      </c>
      <c r="B4">
        <v>10</v>
      </c>
      <c r="C4">
        <v>8</v>
      </c>
      <c r="D4">
        <v>0.8</v>
      </c>
    </row>
    <row r="5" spans="1:4" x14ac:dyDescent="0.3">
      <c r="A5" t="s">
        <v>7</v>
      </c>
      <c r="B5">
        <v>15</v>
      </c>
      <c r="C5">
        <v>8</v>
      </c>
      <c r="D5">
        <v>1.2</v>
      </c>
    </row>
    <row r="6" spans="1:4" x14ac:dyDescent="0.3">
      <c r="A6" t="s">
        <v>8</v>
      </c>
      <c r="B6">
        <v>15</v>
      </c>
      <c r="C6">
        <v>9</v>
      </c>
      <c r="D6">
        <v>1.35</v>
      </c>
    </row>
    <row r="7" spans="1:4" x14ac:dyDescent="0.3">
      <c r="A7" t="s">
        <v>9</v>
      </c>
      <c r="B7">
        <v>20</v>
      </c>
      <c r="C7">
        <v>10</v>
      </c>
      <c r="D7">
        <v>2</v>
      </c>
    </row>
    <row r="8" spans="1:4" x14ac:dyDescent="0.3">
      <c r="A8" t="s">
        <v>10</v>
      </c>
      <c r="B8">
        <v>15</v>
      </c>
      <c r="C8">
        <v>8</v>
      </c>
      <c r="D8">
        <v>1.2</v>
      </c>
    </row>
    <row r="9" spans="1:4" x14ac:dyDescent="0.3">
      <c r="A9" t="s">
        <v>11</v>
      </c>
      <c r="B9">
        <v>10</v>
      </c>
      <c r="C9">
        <v>8</v>
      </c>
      <c r="D9">
        <v>0.8</v>
      </c>
    </row>
    <row r="10" spans="1:4" x14ac:dyDescent="0.3">
      <c r="C10" t="s">
        <v>12</v>
      </c>
      <c r="D10">
        <v>8.7000000000000011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O19" sqref="O19"/>
    </sheetView>
  </sheetViews>
  <sheetFormatPr defaultRowHeight="14.4" x14ac:dyDescent="0.3"/>
  <sheetData>
    <row r="1" spans="1:7" x14ac:dyDescent="0.3">
      <c r="A1" t="s">
        <v>28</v>
      </c>
      <c r="B1">
        <v>0.1</v>
      </c>
    </row>
    <row r="2" spans="1:7" x14ac:dyDescent="0.3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 x14ac:dyDescent="0.3">
      <c r="A3" t="s">
        <v>29</v>
      </c>
      <c r="B3">
        <v>0</v>
      </c>
      <c r="C3">
        <v>15000000</v>
      </c>
      <c r="D3">
        <v>20000000</v>
      </c>
      <c r="E3">
        <v>25000000</v>
      </c>
      <c r="F3">
        <v>30000000</v>
      </c>
      <c r="G3">
        <v>90000000</v>
      </c>
    </row>
    <row r="4" spans="1:7" x14ac:dyDescent="0.3">
      <c r="A4" t="s">
        <v>30</v>
      </c>
      <c r="B4">
        <v>30000000</v>
      </c>
      <c r="C4">
        <v>10000000</v>
      </c>
      <c r="D4">
        <v>8000000</v>
      </c>
      <c r="E4">
        <v>8000000</v>
      </c>
      <c r="F4">
        <v>8000000</v>
      </c>
      <c r="G4">
        <v>64000000</v>
      </c>
    </row>
    <row r="5" spans="1:7" x14ac:dyDescent="0.3">
      <c r="A5" t="s">
        <v>17</v>
      </c>
      <c r="B5">
        <v>0.90910000000000002</v>
      </c>
      <c r="C5">
        <v>0.82640000000000002</v>
      </c>
      <c r="D5">
        <v>0.75129999999999997</v>
      </c>
      <c r="E5">
        <v>0.68300000000000005</v>
      </c>
      <c r="F5">
        <v>0.62090000000000001</v>
      </c>
    </row>
    <row r="6" spans="1:7" x14ac:dyDescent="0.3">
      <c r="A6" t="s">
        <v>19</v>
      </c>
      <c r="B6">
        <v>0</v>
      </c>
      <c r="C6">
        <v>12396000</v>
      </c>
      <c r="D6">
        <v>15026000</v>
      </c>
      <c r="E6">
        <v>17075000</v>
      </c>
      <c r="F6">
        <v>18627000</v>
      </c>
      <c r="G6">
        <v>63124000</v>
      </c>
    </row>
    <row r="7" spans="1:7" x14ac:dyDescent="0.3">
      <c r="A7" t="s">
        <v>18</v>
      </c>
      <c r="B7">
        <v>27273000</v>
      </c>
      <c r="C7">
        <v>8264000</v>
      </c>
      <c r="D7">
        <v>6010400</v>
      </c>
      <c r="E7">
        <v>5464000</v>
      </c>
      <c r="F7">
        <v>4967200</v>
      </c>
      <c r="G7">
        <v>51978600</v>
      </c>
    </row>
    <row r="8" spans="1:7" x14ac:dyDescent="0.3">
      <c r="A8" t="s">
        <v>31</v>
      </c>
      <c r="G8">
        <v>11145400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059F-3BE9-41AA-AA33-8B712EABD569}">
  <dimension ref="A1:G8"/>
  <sheetViews>
    <sheetView workbookViewId="0">
      <selection activeCell="K21" sqref="K21"/>
    </sheetView>
  </sheetViews>
  <sheetFormatPr defaultRowHeight="14.4" x14ac:dyDescent="0.3"/>
  <cols>
    <col min="1" max="1" width="20.6640625" customWidth="1"/>
  </cols>
  <sheetData>
    <row r="1" spans="1:7" x14ac:dyDescent="0.3">
      <c r="A1" t="s">
        <v>28</v>
      </c>
      <c r="B1">
        <v>0.1</v>
      </c>
    </row>
    <row r="2" spans="1:7" x14ac:dyDescent="0.3">
      <c r="A2" t="s">
        <v>16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7" x14ac:dyDescent="0.3">
      <c r="A3" t="s">
        <v>17</v>
      </c>
      <c r="B3">
        <v>0.90910000000000002</v>
      </c>
      <c r="C3">
        <v>0.82640000000000002</v>
      </c>
      <c r="D3">
        <v>0.75129999999999997</v>
      </c>
      <c r="E3">
        <v>0.68300000000000005</v>
      </c>
      <c r="F3">
        <v>0.62090000000000001</v>
      </c>
    </row>
    <row r="4" spans="1:7" x14ac:dyDescent="0.3">
      <c r="A4" t="s">
        <v>18</v>
      </c>
      <c r="B4">
        <v>27273000</v>
      </c>
      <c r="C4">
        <v>8264000</v>
      </c>
      <c r="D4">
        <v>6010400</v>
      </c>
      <c r="E4">
        <v>5464000</v>
      </c>
      <c r="F4">
        <v>4967200</v>
      </c>
    </row>
    <row r="5" spans="1:7" x14ac:dyDescent="0.3">
      <c r="A5" t="s">
        <v>19</v>
      </c>
      <c r="B5">
        <v>0</v>
      </c>
      <c r="C5">
        <v>12396000</v>
      </c>
      <c r="D5">
        <v>15026000</v>
      </c>
      <c r="E5">
        <v>17075000</v>
      </c>
      <c r="F5">
        <v>18627000</v>
      </c>
    </row>
    <row r="6" spans="1:7" x14ac:dyDescent="0.3">
      <c r="A6" t="s">
        <v>20</v>
      </c>
      <c r="B6">
        <v>27273000</v>
      </c>
      <c r="C6">
        <v>35537000</v>
      </c>
      <c r="D6">
        <v>41547400</v>
      </c>
      <c r="E6">
        <v>47011400</v>
      </c>
      <c r="F6">
        <v>51978600</v>
      </c>
    </row>
    <row r="7" spans="1:7" x14ac:dyDescent="0.3">
      <c r="A7" t="s">
        <v>21</v>
      </c>
      <c r="B7">
        <v>0</v>
      </c>
      <c r="C7">
        <v>12396000</v>
      </c>
      <c r="D7">
        <v>27422000</v>
      </c>
      <c r="E7">
        <v>44497000</v>
      </c>
      <c r="F7">
        <v>63124000</v>
      </c>
    </row>
    <row r="8" spans="1:7" x14ac:dyDescent="0.3">
      <c r="A8" t="s">
        <v>32</v>
      </c>
      <c r="G8">
        <v>0.21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3557-B8DA-411F-9A75-6F255CEC8765}">
  <dimension ref="A1:E4"/>
  <sheetViews>
    <sheetView workbookViewId="0">
      <selection activeCell="O15" sqref="O15"/>
    </sheetView>
  </sheetViews>
  <sheetFormatPr defaultRowHeight="14.4" x14ac:dyDescent="0.3"/>
  <sheetData>
    <row r="1" spans="1:5" x14ac:dyDescent="0.3">
      <c r="A1" t="s">
        <v>16</v>
      </c>
      <c r="B1" t="s">
        <v>30</v>
      </c>
      <c r="C1" t="s">
        <v>29</v>
      </c>
      <c r="D1" t="s">
        <v>20</v>
      </c>
      <c r="E1" t="s">
        <v>21</v>
      </c>
    </row>
    <row r="2" spans="1:5" x14ac:dyDescent="0.3">
      <c r="A2">
        <v>0</v>
      </c>
      <c r="B2">
        <v>140000</v>
      </c>
      <c r="C2">
        <v>0</v>
      </c>
      <c r="D2">
        <v>140000</v>
      </c>
      <c r="E2">
        <v>0</v>
      </c>
    </row>
    <row r="3" spans="1:5" x14ac:dyDescent="0.3">
      <c r="A3">
        <v>1</v>
      </c>
      <c r="B3">
        <v>0</v>
      </c>
      <c r="C3">
        <v>172000</v>
      </c>
      <c r="D3">
        <v>140000</v>
      </c>
      <c r="E3">
        <v>172000</v>
      </c>
    </row>
    <row r="4" spans="1:5" x14ac:dyDescent="0.3">
      <c r="A4">
        <v>2</v>
      </c>
      <c r="B4">
        <v>0</v>
      </c>
      <c r="C4">
        <v>243500</v>
      </c>
      <c r="D4">
        <v>140000</v>
      </c>
      <c r="E4">
        <v>415500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WSM_Project</vt:lpstr>
      <vt:lpstr>WSM_Function</vt:lpstr>
      <vt:lpstr>NPV</vt:lpstr>
      <vt:lpstr>ROI</vt:lpstr>
      <vt:lpstr>Paypack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2025-10-27T09:18:58Z</dcterms:created>
  <dcterms:modified xsi:type="dcterms:W3CDTF">2025-10-27T10:18:43Z</dcterms:modified>
</cp:coreProperties>
</file>